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net-my.sharepoint.com/personal/kamaum_si_edu/Documents/"/>
    </mc:Choice>
  </mc:AlternateContent>
  <xr:revisionPtr revIDLastSave="179" documentId="8_{F5EE73FB-F4BE-9849-B6A2-5F2EF755EA0F}" xr6:coauthVersionLast="47" xr6:coauthVersionMax="47" xr10:uidLastSave="{EA893892-B675-5B4F-8367-23971C9C33FE}"/>
  <bookViews>
    <workbookView xWindow="1580" yWindow="2100" windowWidth="26840" windowHeight="14680" xr2:uid="{C1985627-2E6B-4A46-B079-4F8137EDA4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1" l="1"/>
  <c r="J43" i="1"/>
  <c r="J44" i="1"/>
  <c r="J45" i="1"/>
  <c r="J46" i="1"/>
  <c r="J47" i="1"/>
  <c r="J48" i="1"/>
  <c r="J49" i="1"/>
  <c r="J50" i="1"/>
  <c r="J51" i="1"/>
  <c r="J52" i="1"/>
  <c r="J53" i="1"/>
  <c r="J54" i="1"/>
  <c r="J32" i="1"/>
  <c r="J33" i="1"/>
  <c r="J34" i="1"/>
  <c r="J35" i="1"/>
  <c r="J36" i="1"/>
  <c r="J37" i="1"/>
  <c r="J38" i="1"/>
  <c r="J39" i="1"/>
  <c r="J40" i="1"/>
  <c r="J41" i="1"/>
  <c r="J42" i="1"/>
  <c r="J23" i="1"/>
  <c r="J24" i="1"/>
  <c r="J25" i="1"/>
  <c r="J26" i="1"/>
  <c r="J27" i="1"/>
  <c r="J28" i="1"/>
  <c r="J29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" i="1"/>
</calcChain>
</file>

<file path=xl/sharedStrings.xml><?xml version="1.0" encoding="utf-8"?>
<sst xmlns="http://schemas.openxmlformats.org/spreadsheetml/2006/main" count="459" uniqueCount="90">
  <si>
    <t>animal-id</t>
  </si>
  <si>
    <t>date_samplecollection</t>
  </si>
  <si>
    <t>date_DNAextraction</t>
  </si>
  <si>
    <t>Nr_DNAextraction</t>
  </si>
  <si>
    <t>tissue_type</t>
  </si>
  <si>
    <t>tissue_amount</t>
  </si>
  <si>
    <t>tissue_amount_unit</t>
  </si>
  <si>
    <t>elution_buffer</t>
  </si>
  <si>
    <t>elution_volume_ul</t>
  </si>
  <si>
    <t>DNAextract-id</t>
  </si>
  <si>
    <t>DNA_concentration_ngul</t>
  </si>
  <si>
    <t>sequenced</t>
  </si>
  <si>
    <t>comment</t>
  </si>
  <si>
    <t>processed_by</t>
  </si>
  <si>
    <t>blood_edta</t>
  </si>
  <si>
    <t>ul</t>
  </si>
  <si>
    <t>AE</t>
  </si>
  <si>
    <t>26AB_01_1M2N</t>
  </si>
  <si>
    <t>26AB_02_2N3O</t>
  </si>
  <si>
    <t>26AB_03_3P4Q</t>
  </si>
  <si>
    <t>26AB_04_4Q5R</t>
  </si>
  <si>
    <t>26AB_05_5R6S</t>
  </si>
  <si>
    <t>26AB_06_6SZT</t>
  </si>
  <si>
    <t>26AB_07_7U8V</t>
  </si>
  <si>
    <t>26AB_08_8V9W</t>
  </si>
  <si>
    <t>26AB_09_9W0X</t>
  </si>
  <si>
    <t>26AB_10_0X1Y</t>
  </si>
  <si>
    <t>26AB_13_3B5D</t>
  </si>
  <si>
    <t>26AB_11_1Z2A</t>
  </si>
  <si>
    <t>26AB_12_2A4C</t>
  </si>
  <si>
    <t>26AB_14_4C6E</t>
  </si>
  <si>
    <t>26AB_15_5D7F</t>
  </si>
  <si>
    <t>26AB_16_6E8G</t>
  </si>
  <si>
    <t>26AB_18_8G0I</t>
  </si>
  <si>
    <t>26AB_19_8H1S</t>
  </si>
  <si>
    <t>26AB_21_1J3L</t>
  </si>
  <si>
    <t>26AB_22_2J4M</t>
  </si>
  <si>
    <t>26AB_23_3L5N</t>
  </si>
  <si>
    <t>26AB_24_4M60</t>
  </si>
  <si>
    <t>26AB_25_5N7P</t>
  </si>
  <si>
    <t xml:space="preserve">26AB_26_6O8Q </t>
  </si>
  <si>
    <t>26AB_27_7P9R</t>
  </si>
  <si>
    <t>26AB_28_7Q0S</t>
  </si>
  <si>
    <t>26AB_29_9R1F</t>
  </si>
  <si>
    <t>26AB_30_0S2U</t>
  </si>
  <si>
    <t>26AB_31_1T4U</t>
  </si>
  <si>
    <t>26AB_32_2U5W</t>
  </si>
  <si>
    <t>26AB_33_3V6X</t>
  </si>
  <si>
    <t>26AB_34_4W7Y</t>
  </si>
  <si>
    <t>26AB_35_5X7Z</t>
  </si>
  <si>
    <t>26AB_36_6Y9A</t>
  </si>
  <si>
    <t>26AB_37_7ZOB</t>
  </si>
  <si>
    <t>26AB_38_8A1C</t>
  </si>
  <si>
    <t>26AB_39_9B2D</t>
  </si>
  <si>
    <t>26AB_40_0C3E</t>
  </si>
  <si>
    <t>26AB_41_1D4F</t>
  </si>
  <si>
    <t>26AB_42_2E5G</t>
  </si>
  <si>
    <t>26AB_43_3F6H</t>
  </si>
  <si>
    <t>26AB_44_4G7I</t>
  </si>
  <si>
    <t>26AB_45_5H8J</t>
  </si>
  <si>
    <t>26AB_46_6I9K</t>
  </si>
  <si>
    <t>26AB_47_7J0L</t>
  </si>
  <si>
    <t>26AB_48_8L2N</t>
  </si>
  <si>
    <t>26AB_49_9M30</t>
  </si>
  <si>
    <t>26AB_50_0N4P</t>
  </si>
  <si>
    <t>26AB_51</t>
  </si>
  <si>
    <t>26AB_52</t>
  </si>
  <si>
    <t>26AB_53</t>
  </si>
  <si>
    <t>26AB_54</t>
  </si>
  <si>
    <t>e_01</t>
  </si>
  <si>
    <t>April_2026</t>
  </si>
  <si>
    <t>Maureen Kamau</t>
  </si>
  <si>
    <t>e_02</t>
  </si>
  <si>
    <t>NTC</t>
  </si>
  <si>
    <t>too low</t>
  </si>
  <si>
    <t>26AB15_e03</t>
  </si>
  <si>
    <t>26AB44_e03</t>
  </si>
  <si>
    <t>elution volume was 40ul; sent for sequencing</t>
  </si>
  <si>
    <t>aliquot 2</t>
  </si>
  <si>
    <t>e_03</t>
  </si>
  <si>
    <t>e_04</t>
  </si>
  <si>
    <t>24AB08_e04</t>
  </si>
  <si>
    <t>hair</t>
  </si>
  <si>
    <t>strands</t>
  </si>
  <si>
    <t>ATE</t>
  </si>
  <si>
    <t>26AB_44_4G7I_Infant</t>
  </si>
  <si>
    <t>26AB_15_5D7F_Infant</t>
  </si>
  <si>
    <t>24AB_08_3H8L</t>
  </si>
  <si>
    <t>??</t>
  </si>
  <si>
    <t>Forgot to change the extraction number in the DNAextract-id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</si>
</sst>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333333"/>
      <name val="Aptos Narrow"/>
      <scheme val="minor"/>
    </font>
    <font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0" fontId="2" fillId="0" borderId="0" xfId="0" applyFont="1"/>
    <xf numFmtId="0" fontId="3" fillId="0" borderId="0" xfId="0" applyFont="1"/>
    <xf numFmtId="14" fontId="3" fillId="0" borderId="0" xfId="0" applyNumberFormat="1" applyFont="1"/>
    <xf numFmtId="0" fontId="4" fillId="0" borderId="0" xfId="0" applyFont="1"/>
    <xf numFmtId="14" fontId="0" fillId="0" borderId="0" xfId="0" applyNumberForma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66A1B-3CAB-9847-9803-F3A9C5DD93DD}">
  <dimension ref="A1:N60"/>
  <sheetViews>
    <sheetView tabSelected="1" topLeftCell="B32" workbookViewId="0">
      <selection activeCell="I38" sqref="I38"/>
    </sheetView>
  </sheetViews>
  <sheetFormatPr baseColWidth="10" defaultRowHeight="16" x14ac:dyDescent="0.2"/>
  <cols>
    <col min="1" max="1" width="14" bestFit="1" customWidth="1"/>
    <col min="2" max="2" width="23" customWidth="1"/>
    <col min="3" max="3" width="20.83203125" bestFit="1" customWidth="1"/>
    <col min="4" max="4" width="19" bestFit="1" customWidth="1"/>
    <col min="5" max="5" width="12.33203125" bestFit="1" customWidth="1"/>
    <col min="6" max="6" width="15.33203125" bestFit="1" customWidth="1"/>
    <col min="7" max="7" width="20.1640625" bestFit="1" customWidth="1"/>
    <col min="8" max="8" width="14.33203125" bestFit="1" customWidth="1"/>
    <col min="9" max="9" width="18.6640625" bestFit="1" customWidth="1"/>
    <col min="10" max="10" width="14.83203125" bestFit="1" customWidth="1"/>
    <col min="11" max="11" width="25.5" bestFit="1" customWidth="1"/>
    <col min="12" max="12" width="11.6640625" bestFit="1" customWidth="1"/>
    <col min="13" max="13" width="10.1640625" bestFit="1" customWidth="1"/>
    <col min="14" max="14" width="14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  <row r="2" spans="1:14" x14ac:dyDescent="0.2">
      <c r="A2" s="4" t="s">
        <v>17</v>
      </c>
      <c r="B2" s="5">
        <v>46090</v>
      </c>
      <c r="C2" s="7">
        <v>46111</v>
      </c>
      <c r="D2" s="8" t="s">
        <v>69</v>
      </c>
      <c r="E2" s="3" t="s">
        <v>14</v>
      </c>
      <c r="F2" s="3">
        <v>100</v>
      </c>
      <c r="G2" s="3" t="s">
        <v>15</v>
      </c>
      <c r="H2" s="3" t="s">
        <v>16</v>
      </c>
      <c r="I2" s="3">
        <v>220</v>
      </c>
      <c r="J2" t="str">
        <f t="shared" ref="J2:J17" si="0">"26AB"&amp;TEXT(ROW(A1),"00")&amp;"_e01"</f>
        <v>26AB01_e01</v>
      </c>
      <c r="K2">
        <v>10.3</v>
      </c>
      <c r="L2" t="s">
        <v>70</v>
      </c>
      <c r="N2" t="s">
        <v>71</v>
      </c>
    </row>
    <row r="3" spans="1:14" x14ac:dyDescent="0.2">
      <c r="A3" s="4" t="s">
        <v>18</v>
      </c>
      <c r="B3" s="5">
        <v>46090</v>
      </c>
      <c r="C3" s="7">
        <v>46111</v>
      </c>
      <c r="D3" s="8" t="s">
        <v>69</v>
      </c>
      <c r="E3" s="3" t="s">
        <v>14</v>
      </c>
      <c r="F3" s="3">
        <v>100</v>
      </c>
      <c r="G3" s="3" t="s">
        <v>15</v>
      </c>
      <c r="H3" s="3" t="s">
        <v>16</v>
      </c>
      <c r="I3" s="3">
        <v>220</v>
      </c>
      <c r="J3" t="str">
        <f t="shared" si="0"/>
        <v>26AB02_e01</v>
      </c>
      <c r="K3">
        <v>16.399999999999999</v>
      </c>
      <c r="L3" t="s">
        <v>70</v>
      </c>
      <c r="N3" t="s">
        <v>71</v>
      </c>
    </row>
    <row r="4" spans="1:14" x14ac:dyDescent="0.2">
      <c r="A4" s="4" t="s">
        <v>19</v>
      </c>
      <c r="B4" s="5">
        <v>46090</v>
      </c>
      <c r="C4" s="7">
        <v>46111</v>
      </c>
      <c r="D4" s="8" t="s">
        <v>69</v>
      </c>
      <c r="E4" s="3" t="s">
        <v>14</v>
      </c>
      <c r="F4" s="3">
        <v>100</v>
      </c>
      <c r="G4" s="3" t="s">
        <v>15</v>
      </c>
      <c r="H4" s="3" t="s">
        <v>16</v>
      </c>
      <c r="I4" s="3">
        <v>220</v>
      </c>
      <c r="J4" t="str">
        <f t="shared" si="0"/>
        <v>26AB03_e01</v>
      </c>
      <c r="K4">
        <v>9.84</v>
      </c>
      <c r="L4" t="s">
        <v>70</v>
      </c>
      <c r="N4" t="s">
        <v>71</v>
      </c>
    </row>
    <row r="5" spans="1:14" x14ac:dyDescent="0.2">
      <c r="A5" s="4" t="s">
        <v>20</v>
      </c>
      <c r="B5" s="5">
        <v>46090</v>
      </c>
      <c r="C5" s="7">
        <v>46111</v>
      </c>
      <c r="D5" s="8" t="s">
        <v>69</v>
      </c>
      <c r="E5" s="3" t="s">
        <v>14</v>
      </c>
      <c r="F5" s="3">
        <v>100</v>
      </c>
      <c r="G5" s="3" t="s">
        <v>15</v>
      </c>
      <c r="H5" s="3" t="s">
        <v>16</v>
      </c>
      <c r="I5" s="3">
        <v>220</v>
      </c>
      <c r="J5" t="str">
        <f t="shared" si="0"/>
        <v>26AB04_e01</v>
      </c>
      <c r="K5">
        <v>19.399999999999999</v>
      </c>
      <c r="L5" t="s">
        <v>70</v>
      </c>
      <c r="N5" t="s">
        <v>71</v>
      </c>
    </row>
    <row r="6" spans="1:14" x14ac:dyDescent="0.2">
      <c r="A6" s="4" t="s">
        <v>21</v>
      </c>
      <c r="B6" s="5">
        <v>46090</v>
      </c>
      <c r="C6" s="7">
        <v>46111</v>
      </c>
      <c r="D6" s="8" t="s">
        <v>69</v>
      </c>
      <c r="E6" s="3" t="s">
        <v>14</v>
      </c>
      <c r="F6" s="3">
        <v>100</v>
      </c>
      <c r="G6" s="3" t="s">
        <v>15</v>
      </c>
      <c r="H6" s="3" t="s">
        <v>16</v>
      </c>
      <c r="I6" s="3">
        <v>220</v>
      </c>
      <c r="J6" t="str">
        <f t="shared" si="0"/>
        <v>26AB05_e01</v>
      </c>
      <c r="K6">
        <v>9.1999999999999993</v>
      </c>
      <c r="L6" t="s">
        <v>70</v>
      </c>
      <c r="N6" t="s">
        <v>71</v>
      </c>
    </row>
    <row r="7" spans="1:14" x14ac:dyDescent="0.2">
      <c r="A7" s="6" t="s">
        <v>22</v>
      </c>
      <c r="B7" s="5">
        <v>46091</v>
      </c>
      <c r="C7" s="7">
        <v>46111</v>
      </c>
      <c r="D7" s="8" t="s">
        <v>69</v>
      </c>
      <c r="E7" s="3" t="s">
        <v>14</v>
      </c>
      <c r="F7" s="3">
        <v>100</v>
      </c>
      <c r="G7" s="3" t="s">
        <v>15</v>
      </c>
      <c r="H7" s="3" t="s">
        <v>16</v>
      </c>
      <c r="I7" s="3">
        <v>220</v>
      </c>
      <c r="J7" t="str">
        <f t="shared" si="0"/>
        <v>26AB06_e01</v>
      </c>
      <c r="K7">
        <v>9.86</v>
      </c>
      <c r="L7" t="s">
        <v>70</v>
      </c>
      <c r="N7" t="s">
        <v>71</v>
      </c>
    </row>
    <row r="8" spans="1:14" x14ac:dyDescent="0.2">
      <c r="A8" s="6" t="s">
        <v>23</v>
      </c>
      <c r="B8" s="5">
        <v>46091</v>
      </c>
      <c r="C8" s="7">
        <v>46111</v>
      </c>
      <c r="D8" s="8" t="s">
        <v>69</v>
      </c>
      <c r="E8" s="3" t="s">
        <v>14</v>
      </c>
      <c r="F8" s="3">
        <v>100</v>
      </c>
      <c r="G8" s="3" t="s">
        <v>15</v>
      </c>
      <c r="H8" s="3" t="s">
        <v>16</v>
      </c>
      <c r="I8" s="3">
        <v>220</v>
      </c>
      <c r="J8" t="str">
        <f t="shared" si="0"/>
        <v>26AB07_e01</v>
      </c>
      <c r="K8">
        <v>28.8</v>
      </c>
      <c r="L8" t="s">
        <v>70</v>
      </c>
      <c r="N8" t="s">
        <v>71</v>
      </c>
    </row>
    <row r="9" spans="1:14" x14ac:dyDescent="0.2">
      <c r="A9" s="6" t="s">
        <v>24</v>
      </c>
      <c r="B9" s="5">
        <v>46091</v>
      </c>
      <c r="C9" s="7">
        <v>46111</v>
      </c>
      <c r="D9" s="8" t="s">
        <v>69</v>
      </c>
      <c r="E9" s="3" t="s">
        <v>14</v>
      </c>
      <c r="F9" s="3">
        <v>100</v>
      </c>
      <c r="G9" s="3" t="s">
        <v>15</v>
      </c>
      <c r="H9" s="3" t="s">
        <v>16</v>
      </c>
      <c r="I9" s="3">
        <v>220</v>
      </c>
      <c r="J9" t="str">
        <f t="shared" si="0"/>
        <v>26AB08_e01</v>
      </c>
      <c r="K9">
        <v>33.799999999999997</v>
      </c>
      <c r="L9" t="s">
        <v>70</v>
      </c>
      <c r="N9" t="s">
        <v>71</v>
      </c>
    </row>
    <row r="10" spans="1:14" x14ac:dyDescent="0.2">
      <c r="A10" s="6" t="s">
        <v>25</v>
      </c>
      <c r="B10" s="5">
        <v>46091</v>
      </c>
      <c r="C10" s="7">
        <v>46111</v>
      </c>
      <c r="D10" s="8" t="s">
        <v>69</v>
      </c>
      <c r="E10" s="3" t="s">
        <v>14</v>
      </c>
      <c r="F10" s="3">
        <v>100</v>
      </c>
      <c r="G10" s="3" t="s">
        <v>15</v>
      </c>
      <c r="H10" s="3" t="s">
        <v>16</v>
      </c>
      <c r="I10" s="3">
        <v>220</v>
      </c>
      <c r="J10" t="str">
        <f t="shared" si="0"/>
        <v>26AB09_e01</v>
      </c>
      <c r="K10">
        <v>27.2</v>
      </c>
      <c r="L10" t="s">
        <v>70</v>
      </c>
      <c r="M10" s="9"/>
      <c r="N10" t="s">
        <v>71</v>
      </c>
    </row>
    <row r="11" spans="1:14" x14ac:dyDescent="0.2">
      <c r="A11" s="6" t="s">
        <v>26</v>
      </c>
      <c r="B11" s="5">
        <v>46091</v>
      </c>
      <c r="C11" s="7">
        <v>46111</v>
      </c>
      <c r="D11" s="8" t="s">
        <v>69</v>
      </c>
      <c r="E11" s="3" t="s">
        <v>14</v>
      </c>
      <c r="F11" s="3">
        <v>100</v>
      </c>
      <c r="G11" s="3" t="s">
        <v>15</v>
      </c>
      <c r="H11" s="3" t="s">
        <v>16</v>
      </c>
      <c r="I11" s="3">
        <v>220</v>
      </c>
      <c r="J11" t="str">
        <f t="shared" si="0"/>
        <v>26AB10_e01</v>
      </c>
      <c r="K11">
        <v>15.6</v>
      </c>
      <c r="L11" t="s">
        <v>70</v>
      </c>
      <c r="N11" t="s">
        <v>71</v>
      </c>
    </row>
    <row r="12" spans="1:14" x14ac:dyDescent="0.2">
      <c r="A12" s="6" t="s">
        <v>27</v>
      </c>
      <c r="B12" s="5">
        <v>46091</v>
      </c>
      <c r="C12" s="7">
        <v>46111</v>
      </c>
      <c r="D12" s="8" t="s">
        <v>69</v>
      </c>
      <c r="E12" s="3" t="s">
        <v>14</v>
      </c>
      <c r="F12" s="3">
        <v>100</v>
      </c>
      <c r="G12" s="3" t="s">
        <v>15</v>
      </c>
      <c r="H12" s="3" t="s">
        <v>16</v>
      </c>
      <c r="I12" s="3">
        <v>220</v>
      </c>
      <c r="J12" t="str">
        <f t="shared" si="0"/>
        <v>26AB11_e01</v>
      </c>
      <c r="K12">
        <v>23.6</v>
      </c>
      <c r="L12" t="s">
        <v>70</v>
      </c>
      <c r="N12" t="s">
        <v>71</v>
      </c>
    </row>
    <row r="13" spans="1:14" x14ac:dyDescent="0.2">
      <c r="A13" t="s">
        <v>28</v>
      </c>
      <c r="B13" s="5">
        <v>46092</v>
      </c>
      <c r="C13" s="7">
        <v>46111</v>
      </c>
      <c r="D13" s="8" t="s">
        <v>69</v>
      </c>
      <c r="E13" s="3" t="s">
        <v>14</v>
      </c>
      <c r="F13" s="3">
        <v>100</v>
      </c>
      <c r="G13" s="3" t="s">
        <v>15</v>
      </c>
      <c r="H13" s="3" t="s">
        <v>16</v>
      </c>
      <c r="I13" s="3">
        <v>220</v>
      </c>
      <c r="J13" t="str">
        <f t="shared" si="0"/>
        <v>26AB12_e01</v>
      </c>
      <c r="K13">
        <v>22.2</v>
      </c>
      <c r="L13" t="s">
        <v>70</v>
      </c>
      <c r="N13" t="s">
        <v>71</v>
      </c>
    </row>
    <row r="14" spans="1:14" x14ac:dyDescent="0.2">
      <c r="A14" t="s">
        <v>29</v>
      </c>
      <c r="B14" s="5">
        <v>46092</v>
      </c>
      <c r="C14" s="7">
        <v>46111</v>
      </c>
      <c r="D14" s="8" t="s">
        <v>69</v>
      </c>
      <c r="E14" s="3" t="s">
        <v>14</v>
      </c>
      <c r="F14" s="3">
        <v>100</v>
      </c>
      <c r="G14" s="3" t="s">
        <v>15</v>
      </c>
      <c r="H14" s="3" t="s">
        <v>16</v>
      </c>
      <c r="I14" s="3">
        <v>220</v>
      </c>
      <c r="J14" t="str">
        <f t="shared" si="0"/>
        <v>26AB13_e01</v>
      </c>
      <c r="K14">
        <v>30.2</v>
      </c>
      <c r="L14" t="s">
        <v>70</v>
      </c>
      <c r="N14" t="s">
        <v>71</v>
      </c>
    </row>
    <row r="15" spans="1:14" x14ac:dyDescent="0.2">
      <c r="A15" t="s">
        <v>30</v>
      </c>
      <c r="B15" s="5">
        <v>46092</v>
      </c>
      <c r="C15" s="7">
        <v>46111</v>
      </c>
      <c r="D15" s="8" t="s">
        <v>69</v>
      </c>
      <c r="E15" s="3" t="s">
        <v>14</v>
      </c>
      <c r="F15" s="3">
        <v>100</v>
      </c>
      <c r="G15" s="3" t="s">
        <v>15</v>
      </c>
      <c r="H15" s="3" t="s">
        <v>16</v>
      </c>
      <c r="I15" s="3">
        <v>220</v>
      </c>
      <c r="J15" t="str">
        <f t="shared" si="0"/>
        <v>26AB14_e01</v>
      </c>
      <c r="K15">
        <v>32</v>
      </c>
      <c r="L15" t="s">
        <v>70</v>
      </c>
      <c r="N15" t="s">
        <v>71</v>
      </c>
    </row>
    <row r="16" spans="1:14" x14ac:dyDescent="0.2">
      <c r="A16" t="s">
        <v>31</v>
      </c>
      <c r="B16" s="5">
        <v>46093</v>
      </c>
      <c r="C16" s="7">
        <v>46111</v>
      </c>
      <c r="D16" s="8" t="s">
        <v>69</v>
      </c>
      <c r="E16" s="3" t="s">
        <v>14</v>
      </c>
      <c r="F16" s="3">
        <v>100</v>
      </c>
      <c r="G16" s="3" t="s">
        <v>15</v>
      </c>
      <c r="H16" s="3" t="s">
        <v>16</v>
      </c>
      <c r="I16" s="3">
        <v>220</v>
      </c>
      <c r="J16" t="str">
        <f t="shared" si="0"/>
        <v>26AB15_e01</v>
      </c>
      <c r="K16">
        <v>29.2</v>
      </c>
      <c r="L16" t="s">
        <v>70</v>
      </c>
      <c r="N16" t="s">
        <v>71</v>
      </c>
    </row>
    <row r="17" spans="1:14" x14ac:dyDescent="0.2">
      <c r="A17" t="s">
        <v>32</v>
      </c>
      <c r="B17" s="5">
        <v>46093</v>
      </c>
      <c r="C17" s="7">
        <v>46111</v>
      </c>
      <c r="D17" s="8" t="s">
        <v>69</v>
      </c>
      <c r="E17" s="3" t="s">
        <v>14</v>
      </c>
      <c r="F17" s="3">
        <v>100</v>
      </c>
      <c r="G17" s="3" t="s">
        <v>15</v>
      </c>
      <c r="H17" s="3" t="s">
        <v>16</v>
      </c>
      <c r="I17" s="3">
        <v>220</v>
      </c>
      <c r="J17" t="str">
        <f t="shared" si="0"/>
        <v>26AB16_e01</v>
      </c>
      <c r="K17">
        <v>34.4</v>
      </c>
      <c r="L17" t="s">
        <v>70</v>
      </c>
      <c r="N17" t="s">
        <v>71</v>
      </c>
    </row>
    <row r="18" spans="1:14" x14ac:dyDescent="0.2">
      <c r="A18" t="s">
        <v>33</v>
      </c>
      <c r="B18" s="5">
        <v>46093</v>
      </c>
      <c r="C18" s="7">
        <v>46111</v>
      </c>
      <c r="D18" s="8" t="s">
        <v>69</v>
      </c>
      <c r="E18" s="3" t="s">
        <v>14</v>
      </c>
      <c r="F18" s="3">
        <v>100</v>
      </c>
      <c r="G18" s="3" t="s">
        <v>15</v>
      </c>
      <c r="H18" s="3" t="s">
        <v>16</v>
      </c>
      <c r="I18" s="3">
        <v>220</v>
      </c>
      <c r="J18" t="str">
        <f>"26AB"&amp;TEXT(ROW(A18),"00")&amp;"_e01"</f>
        <v>26AB18_e01</v>
      </c>
      <c r="K18">
        <v>42.4</v>
      </c>
      <c r="L18" t="s">
        <v>70</v>
      </c>
      <c r="N18" t="s">
        <v>71</v>
      </c>
    </row>
    <row r="19" spans="1:14" x14ac:dyDescent="0.2">
      <c r="A19" t="s">
        <v>34</v>
      </c>
      <c r="B19" s="5">
        <v>46093</v>
      </c>
      <c r="C19" s="7">
        <v>46111</v>
      </c>
      <c r="D19" s="8" t="s">
        <v>69</v>
      </c>
      <c r="E19" s="3" t="s">
        <v>14</v>
      </c>
      <c r="F19" s="3">
        <v>100</v>
      </c>
      <c r="G19" s="3" t="s">
        <v>15</v>
      </c>
      <c r="H19" s="3" t="s">
        <v>16</v>
      </c>
      <c r="I19" s="3">
        <v>220</v>
      </c>
      <c r="J19" t="str">
        <f>"26AB"&amp;TEXT(ROW(A19),"00")&amp;"_e01"</f>
        <v>26AB19_e01</v>
      </c>
      <c r="K19">
        <v>30.6</v>
      </c>
      <c r="L19" t="s">
        <v>70</v>
      </c>
      <c r="N19" t="s">
        <v>71</v>
      </c>
    </row>
    <row r="20" spans="1:14" x14ac:dyDescent="0.2">
      <c r="A20" t="s">
        <v>35</v>
      </c>
      <c r="B20" s="5">
        <v>46093</v>
      </c>
      <c r="C20" s="7">
        <v>46111</v>
      </c>
      <c r="D20" s="8" t="s">
        <v>69</v>
      </c>
      <c r="E20" s="3" t="s">
        <v>14</v>
      </c>
      <c r="F20" s="3">
        <v>100</v>
      </c>
      <c r="G20" s="3" t="s">
        <v>15</v>
      </c>
      <c r="H20" s="3" t="s">
        <v>16</v>
      </c>
      <c r="I20" s="3">
        <v>220</v>
      </c>
      <c r="J20" t="str">
        <f t="shared" ref="J20:J30" si="1">"26AB"&amp;TEXT(ROW(A21),"00")&amp;"_e01"</f>
        <v>26AB21_e01</v>
      </c>
      <c r="K20">
        <v>27</v>
      </c>
      <c r="L20" t="s">
        <v>70</v>
      </c>
      <c r="N20" t="s">
        <v>71</v>
      </c>
    </row>
    <row r="21" spans="1:14" x14ac:dyDescent="0.2">
      <c r="A21" t="s">
        <v>36</v>
      </c>
      <c r="B21" s="5">
        <v>46093</v>
      </c>
      <c r="C21" s="7">
        <v>46111</v>
      </c>
      <c r="D21" s="8" t="s">
        <v>69</v>
      </c>
      <c r="E21" s="3" t="s">
        <v>14</v>
      </c>
      <c r="F21" s="3">
        <v>100</v>
      </c>
      <c r="G21" s="3" t="s">
        <v>15</v>
      </c>
      <c r="H21" s="3" t="s">
        <v>16</v>
      </c>
      <c r="I21" s="3">
        <v>220</v>
      </c>
      <c r="J21" t="str">
        <f t="shared" si="1"/>
        <v>26AB22_e01</v>
      </c>
      <c r="K21">
        <v>35.4</v>
      </c>
      <c r="L21" t="s">
        <v>70</v>
      </c>
      <c r="N21" t="s">
        <v>71</v>
      </c>
    </row>
    <row r="22" spans="1:14" x14ac:dyDescent="0.2">
      <c r="A22" t="s">
        <v>37</v>
      </c>
      <c r="B22" s="5">
        <v>46093</v>
      </c>
      <c r="C22" s="7">
        <v>46111</v>
      </c>
      <c r="D22" s="8" t="s">
        <v>69</v>
      </c>
      <c r="E22" s="3" t="s">
        <v>14</v>
      </c>
      <c r="F22" s="3">
        <v>100</v>
      </c>
      <c r="G22" s="3" t="s">
        <v>15</v>
      </c>
      <c r="H22" s="3" t="s">
        <v>16</v>
      </c>
      <c r="I22" s="3">
        <v>220</v>
      </c>
      <c r="J22" t="str">
        <f t="shared" si="1"/>
        <v>26AB23_e01</v>
      </c>
      <c r="K22">
        <v>40.200000000000003</v>
      </c>
      <c r="L22" t="s">
        <v>70</v>
      </c>
      <c r="N22" t="s">
        <v>71</v>
      </c>
    </row>
    <row r="23" spans="1:14" x14ac:dyDescent="0.2">
      <c r="A23" t="s">
        <v>38</v>
      </c>
      <c r="B23" s="5">
        <v>46093</v>
      </c>
      <c r="C23" s="7">
        <v>46111</v>
      </c>
      <c r="D23" s="8" t="s">
        <v>69</v>
      </c>
      <c r="E23" s="3" t="s">
        <v>14</v>
      </c>
      <c r="F23" s="3">
        <v>100</v>
      </c>
      <c r="G23" s="3" t="s">
        <v>15</v>
      </c>
      <c r="H23" s="3" t="s">
        <v>16</v>
      </c>
      <c r="I23" s="3">
        <v>220</v>
      </c>
      <c r="J23" t="str">
        <f t="shared" si="1"/>
        <v>26AB24_e01</v>
      </c>
      <c r="K23">
        <v>19.8</v>
      </c>
      <c r="L23" t="s">
        <v>70</v>
      </c>
      <c r="N23" t="s">
        <v>71</v>
      </c>
    </row>
    <row r="24" spans="1:14" x14ac:dyDescent="0.2">
      <c r="A24" t="s">
        <v>39</v>
      </c>
      <c r="B24" s="5">
        <v>46093</v>
      </c>
      <c r="C24" s="7">
        <v>46111</v>
      </c>
      <c r="D24" s="8" t="s">
        <v>69</v>
      </c>
      <c r="E24" s="3" t="s">
        <v>14</v>
      </c>
      <c r="F24" s="3">
        <v>100</v>
      </c>
      <c r="G24" s="3" t="s">
        <v>15</v>
      </c>
      <c r="H24" s="3" t="s">
        <v>16</v>
      </c>
      <c r="I24" s="3">
        <v>220</v>
      </c>
      <c r="J24" t="str">
        <f t="shared" si="1"/>
        <v>26AB25_e01</v>
      </c>
      <c r="K24">
        <v>28</v>
      </c>
      <c r="L24" t="s">
        <v>70</v>
      </c>
      <c r="N24" t="s">
        <v>71</v>
      </c>
    </row>
    <row r="25" spans="1:14" x14ac:dyDescent="0.2">
      <c r="A25" t="s">
        <v>40</v>
      </c>
      <c r="B25" s="5">
        <v>46094</v>
      </c>
      <c r="C25" s="7">
        <v>46111</v>
      </c>
      <c r="D25" s="8" t="s">
        <v>69</v>
      </c>
      <c r="E25" s="3" t="s">
        <v>14</v>
      </c>
      <c r="F25" s="3">
        <v>100</v>
      </c>
      <c r="G25" s="3" t="s">
        <v>15</v>
      </c>
      <c r="H25" s="3" t="s">
        <v>16</v>
      </c>
      <c r="I25" s="3">
        <v>220</v>
      </c>
      <c r="J25" t="str">
        <f t="shared" si="1"/>
        <v>26AB26_e01</v>
      </c>
      <c r="K25">
        <v>21</v>
      </c>
      <c r="L25" t="s">
        <v>70</v>
      </c>
      <c r="N25" t="s">
        <v>71</v>
      </c>
    </row>
    <row r="26" spans="1:14" x14ac:dyDescent="0.2">
      <c r="A26" t="s">
        <v>41</v>
      </c>
      <c r="B26" s="5">
        <v>46094</v>
      </c>
      <c r="C26" s="7">
        <v>46111</v>
      </c>
      <c r="D26" s="8" t="s">
        <v>69</v>
      </c>
      <c r="E26" s="3" t="s">
        <v>14</v>
      </c>
      <c r="F26" s="3">
        <v>100</v>
      </c>
      <c r="G26" s="3" t="s">
        <v>15</v>
      </c>
      <c r="H26" s="3" t="s">
        <v>16</v>
      </c>
      <c r="I26" s="3">
        <v>220</v>
      </c>
      <c r="J26" t="str">
        <f t="shared" si="1"/>
        <v>26AB27_e01</v>
      </c>
      <c r="K26">
        <v>28</v>
      </c>
      <c r="L26" t="s">
        <v>70</v>
      </c>
      <c r="N26" t="s">
        <v>71</v>
      </c>
    </row>
    <row r="27" spans="1:14" x14ac:dyDescent="0.2">
      <c r="A27" t="s">
        <v>42</v>
      </c>
      <c r="B27" s="5">
        <v>46094</v>
      </c>
      <c r="C27" s="7">
        <v>46111</v>
      </c>
      <c r="D27" s="8" t="s">
        <v>69</v>
      </c>
      <c r="E27" s="3" t="s">
        <v>14</v>
      </c>
      <c r="F27" s="3">
        <v>100</v>
      </c>
      <c r="G27" s="3" t="s">
        <v>15</v>
      </c>
      <c r="H27" s="3" t="s">
        <v>16</v>
      </c>
      <c r="I27" s="3">
        <v>220</v>
      </c>
      <c r="J27" t="str">
        <f t="shared" si="1"/>
        <v>26AB28_e01</v>
      </c>
      <c r="K27">
        <v>22.4</v>
      </c>
      <c r="L27" t="s">
        <v>70</v>
      </c>
      <c r="N27" t="s">
        <v>71</v>
      </c>
    </row>
    <row r="28" spans="1:14" x14ac:dyDescent="0.2">
      <c r="A28" t="s">
        <v>43</v>
      </c>
      <c r="B28" s="5">
        <v>46094</v>
      </c>
      <c r="C28" s="7">
        <v>46111</v>
      </c>
      <c r="D28" s="8" t="s">
        <v>69</v>
      </c>
      <c r="E28" s="3" t="s">
        <v>14</v>
      </c>
      <c r="F28" s="3">
        <v>100</v>
      </c>
      <c r="G28" s="3" t="s">
        <v>15</v>
      </c>
      <c r="H28" s="3" t="s">
        <v>16</v>
      </c>
      <c r="I28" s="3">
        <v>220</v>
      </c>
      <c r="J28" t="str">
        <f t="shared" si="1"/>
        <v>26AB29_e01</v>
      </c>
      <c r="K28">
        <v>26</v>
      </c>
      <c r="L28" t="s">
        <v>70</v>
      </c>
      <c r="N28" t="s">
        <v>71</v>
      </c>
    </row>
    <row r="29" spans="1:14" x14ac:dyDescent="0.2">
      <c r="A29" t="s">
        <v>44</v>
      </c>
      <c r="B29" s="5">
        <v>46094</v>
      </c>
      <c r="C29" s="7">
        <v>46111</v>
      </c>
      <c r="D29" s="8" t="s">
        <v>69</v>
      </c>
      <c r="E29" s="3" t="s">
        <v>14</v>
      </c>
      <c r="F29" s="3">
        <v>100</v>
      </c>
      <c r="G29" s="3" t="s">
        <v>15</v>
      </c>
      <c r="H29" s="3" t="s">
        <v>16</v>
      </c>
      <c r="I29" s="3">
        <v>220</v>
      </c>
      <c r="J29" t="str">
        <f t="shared" si="1"/>
        <v>26AB30_e01</v>
      </c>
      <c r="K29">
        <v>15.3</v>
      </c>
      <c r="L29" t="s">
        <v>70</v>
      </c>
      <c r="N29" t="s">
        <v>71</v>
      </c>
    </row>
    <row r="30" spans="1:14" x14ac:dyDescent="0.2">
      <c r="A30" t="s">
        <v>45</v>
      </c>
      <c r="B30" s="5">
        <v>46094</v>
      </c>
      <c r="C30" s="7">
        <v>46111</v>
      </c>
      <c r="D30" s="8" t="s">
        <v>69</v>
      </c>
      <c r="E30" s="3" t="s">
        <v>14</v>
      </c>
      <c r="F30" s="3">
        <v>100</v>
      </c>
      <c r="G30" s="3" t="s">
        <v>15</v>
      </c>
      <c r="H30" s="3" t="s">
        <v>16</v>
      </c>
      <c r="I30" s="3">
        <v>220</v>
      </c>
      <c r="J30" t="str">
        <f t="shared" si="1"/>
        <v>26AB31_e01</v>
      </c>
      <c r="K30">
        <v>21</v>
      </c>
      <c r="L30" t="s">
        <v>70</v>
      </c>
      <c r="N30" t="s">
        <v>71</v>
      </c>
    </row>
    <row r="31" spans="1:14" x14ac:dyDescent="0.2">
      <c r="A31" t="s">
        <v>73</v>
      </c>
      <c r="B31" s="5"/>
      <c r="C31" s="7">
        <v>46112</v>
      </c>
      <c r="D31" s="8" t="s">
        <v>69</v>
      </c>
      <c r="E31" s="3"/>
      <c r="F31" s="3">
        <v>100</v>
      </c>
      <c r="G31" s="3" t="s">
        <v>15</v>
      </c>
      <c r="H31" s="3" t="s">
        <v>16</v>
      </c>
      <c r="I31" s="3">
        <v>220</v>
      </c>
      <c r="K31" t="s">
        <v>74</v>
      </c>
      <c r="N31" t="s">
        <v>71</v>
      </c>
    </row>
    <row r="32" spans="1:14" x14ac:dyDescent="0.2">
      <c r="A32" t="s">
        <v>46</v>
      </c>
      <c r="B32" s="5">
        <v>46095</v>
      </c>
      <c r="C32" s="7">
        <v>46111</v>
      </c>
      <c r="D32" s="8" t="s">
        <v>72</v>
      </c>
      <c r="E32" s="3" t="s">
        <v>14</v>
      </c>
      <c r="F32" s="3">
        <v>100</v>
      </c>
      <c r="G32" s="3" t="s">
        <v>15</v>
      </c>
      <c r="H32" s="3" t="s">
        <v>16</v>
      </c>
      <c r="I32" s="3">
        <v>220</v>
      </c>
      <c r="J32" t="str">
        <f t="shared" ref="J32:J54" si="2">"26AB"&amp;TEXT(ROW(A32),"00")&amp;"_e01"</f>
        <v>26AB32_e01</v>
      </c>
      <c r="K32">
        <v>17.2</v>
      </c>
      <c r="L32" t="s">
        <v>70</v>
      </c>
      <c r="M32" t="s">
        <v>89</v>
      </c>
      <c r="N32" t="s">
        <v>71</v>
      </c>
    </row>
    <row r="33" spans="1:14" x14ac:dyDescent="0.2">
      <c r="A33" t="s">
        <v>47</v>
      </c>
      <c r="B33" s="5">
        <v>46095</v>
      </c>
      <c r="C33" s="7">
        <v>46111</v>
      </c>
      <c r="D33" s="8" t="s">
        <v>72</v>
      </c>
      <c r="E33" s="3" t="s">
        <v>14</v>
      </c>
      <c r="F33" s="3">
        <v>100</v>
      </c>
      <c r="G33" s="3" t="s">
        <v>15</v>
      </c>
      <c r="H33" s="3" t="s">
        <v>16</v>
      </c>
      <c r="I33" s="3">
        <v>220</v>
      </c>
      <c r="J33" t="str">
        <f t="shared" si="2"/>
        <v>26AB33_e01</v>
      </c>
      <c r="K33">
        <v>14.5</v>
      </c>
      <c r="L33" t="s">
        <v>70</v>
      </c>
      <c r="M33" t="s">
        <v>89</v>
      </c>
      <c r="N33" t="s">
        <v>71</v>
      </c>
    </row>
    <row r="34" spans="1:14" x14ac:dyDescent="0.2">
      <c r="A34" t="s">
        <v>48</v>
      </c>
      <c r="B34" s="5">
        <v>46095</v>
      </c>
      <c r="C34" s="7">
        <v>46111</v>
      </c>
      <c r="D34" s="8" t="s">
        <v>72</v>
      </c>
      <c r="E34" s="3" t="s">
        <v>14</v>
      </c>
      <c r="F34" s="3">
        <v>100</v>
      </c>
      <c r="G34" s="3" t="s">
        <v>15</v>
      </c>
      <c r="H34" s="3" t="s">
        <v>16</v>
      </c>
      <c r="I34" s="3">
        <v>220</v>
      </c>
      <c r="J34" t="str">
        <f t="shared" si="2"/>
        <v>26AB34_e01</v>
      </c>
      <c r="K34">
        <v>13.4</v>
      </c>
      <c r="L34" t="s">
        <v>70</v>
      </c>
      <c r="M34" t="s">
        <v>89</v>
      </c>
      <c r="N34" t="s">
        <v>71</v>
      </c>
    </row>
    <row r="35" spans="1:14" x14ac:dyDescent="0.2">
      <c r="A35" t="s">
        <v>49</v>
      </c>
      <c r="B35" s="5">
        <v>46095</v>
      </c>
      <c r="C35" s="7">
        <v>46111</v>
      </c>
      <c r="D35" s="8" t="s">
        <v>72</v>
      </c>
      <c r="E35" s="3" t="s">
        <v>14</v>
      </c>
      <c r="F35" s="3">
        <v>100</v>
      </c>
      <c r="G35" s="3" t="s">
        <v>15</v>
      </c>
      <c r="H35" s="3" t="s">
        <v>16</v>
      </c>
      <c r="I35" s="3">
        <v>220</v>
      </c>
      <c r="J35" t="str">
        <f t="shared" si="2"/>
        <v>26AB35_e01</v>
      </c>
      <c r="K35">
        <v>15.7</v>
      </c>
      <c r="L35" t="s">
        <v>70</v>
      </c>
      <c r="M35" t="s">
        <v>89</v>
      </c>
      <c r="N35" t="s">
        <v>71</v>
      </c>
    </row>
    <row r="36" spans="1:14" x14ac:dyDescent="0.2">
      <c r="A36" t="s">
        <v>50</v>
      </c>
      <c r="B36" s="7">
        <v>46097</v>
      </c>
      <c r="C36" s="7">
        <v>46111</v>
      </c>
      <c r="D36" s="8" t="s">
        <v>72</v>
      </c>
      <c r="E36" s="3" t="s">
        <v>14</v>
      </c>
      <c r="F36" s="3">
        <v>100</v>
      </c>
      <c r="G36" s="3" t="s">
        <v>15</v>
      </c>
      <c r="H36" s="3" t="s">
        <v>16</v>
      </c>
      <c r="I36" s="3">
        <v>220</v>
      </c>
      <c r="J36" t="str">
        <f t="shared" si="2"/>
        <v>26AB36_e01</v>
      </c>
      <c r="K36">
        <v>19.5</v>
      </c>
      <c r="L36" t="s">
        <v>70</v>
      </c>
      <c r="M36" t="s">
        <v>89</v>
      </c>
      <c r="N36" t="s">
        <v>71</v>
      </c>
    </row>
    <row r="37" spans="1:14" x14ac:dyDescent="0.2">
      <c r="A37" t="s">
        <v>51</v>
      </c>
      <c r="B37" s="7">
        <v>46097</v>
      </c>
      <c r="C37" s="7">
        <v>46111</v>
      </c>
      <c r="D37" s="8" t="s">
        <v>72</v>
      </c>
      <c r="E37" s="3" t="s">
        <v>14</v>
      </c>
      <c r="F37" s="3">
        <v>100</v>
      </c>
      <c r="G37" s="3" t="s">
        <v>15</v>
      </c>
      <c r="H37" s="3" t="s">
        <v>16</v>
      </c>
      <c r="I37" s="3">
        <v>220</v>
      </c>
      <c r="J37" t="str">
        <f t="shared" si="2"/>
        <v>26AB37_e01</v>
      </c>
      <c r="K37">
        <v>18.100000000000001</v>
      </c>
      <c r="L37" t="s">
        <v>70</v>
      </c>
      <c r="M37" t="s">
        <v>89</v>
      </c>
      <c r="N37" t="s">
        <v>71</v>
      </c>
    </row>
    <row r="38" spans="1:14" x14ac:dyDescent="0.2">
      <c r="A38" t="s">
        <v>52</v>
      </c>
      <c r="B38" s="7">
        <v>46097</v>
      </c>
      <c r="C38" s="7">
        <v>46111</v>
      </c>
      <c r="D38" s="8" t="s">
        <v>72</v>
      </c>
      <c r="E38" s="3" t="s">
        <v>14</v>
      </c>
      <c r="F38" s="3">
        <v>100</v>
      </c>
      <c r="G38" s="3" t="s">
        <v>15</v>
      </c>
      <c r="H38" s="3" t="s">
        <v>16</v>
      </c>
      <c r="I38" s="3">
        <v>220</v>
      </c>
      <c r="J38" t="str">
        <f t="shared" si="2"/>
        <v>26AB38_e01</v>
      </c>
      <c r="K38">
        <v>17.600000000000001</v>
      </c>
      <c r="L38" t="s">
        <v>70</v>
      </c>
      <c r="M38" t="s">
        <v>89</v>
      </c>
      <c r="N38" t="s">
        <v>71</v>
      </c>
    </row>
    <row r="39" spans="1:14" x14ac:dyDescent="0.2">
      <c r="A39" t="s">
        <v>53</v>
      </c>
      <c r="B39" s="7">
        <v>46098</v>
      </c>
      <c r="C39" s="7">
        <v>46111</v>
      </c>
      <c r="D39" s="8" t="s">
        <v>72</v>
      </c>
      <c r="E39" s="3" t="s">
        <v>14</v>
      </c>
      <c r="F39" s="3">
        <v>100</v>
      </c>
      <c r="G39" s="3" t="s">
        <v>15</v>
      </c>
      <c r="H39" s="3" t="s">
        <v>16</v>
      </c>
      <c r="I39" s="3">
        <v>220</v>
      </c>
      <c r="J39" t="str">
        <f t="shared" si="2"/>
        <v>26AB39_e01</v>
      </c>
      <c r="K39">
        <v>13.9</v>
      </c>
      <c r="L39" t="s">
        <v>70</v>
      </c>
      <c r="M39" t="s">
        <v>89</v>
      </c>
      <c r="N39" t="s">
        <v>71</v>
      </c>
    </row>
    <row r="40" spans="1:14" x14ac:dyDescent="0.2">
      <c r="A40" t="s">
        <v>54</v>
      </c>
      <c r="B40" s="7">
        <v>46098</v>
      </c>
      <c r="C40" s="7">
        <v>46111</v>
      </c>
      <c r="D40" s="8" t="s">
        <v>72</v>
      </c>
      <c r="E40" s="3" t="s">
        <v>14</v>
      </c>
      <c r="F40" s="3">
        <v>100</v>
      </c>
      <c r="G40" s="3" t="s">
        <v>15</v>
      </c>
      <c r="H40" s="3" t="s">
        <v>16</v>
      </c>
      <c r="I40" s="3">
        <v>220</v>
      </c>
      <c r="J40" t="str">
        <f t="shared" si="2"/>
        <v>26AB40_e01</v>
      </c>
      <c r="K40">
        <v>18.2</v>
      </c>
      <c r="L40" t="s">
        <v>70</v>
      </c>
      <c r="M40" t="s">
        <v>89</v>
      </c>
      <c r="N40" t="s">
        <v>71</v>
      </c>
    </row>
    <row r="41" spans="1:14" x14ac:dyDescent="0.2">
      <c r="A41" t="s">
        <v>55</v>
      </c>
      <c r="B41" s="7">
        <v>46098</v>
      </c>
      <c r="C41" s="7">
        <v>46111</v>
      </c>
      <c r="D41" s="8" t="s">
        <v>72</v>
      </c>
      <c r="E41" s="3" t="s">
        <v>14</v>
      </c>
      <c r="F41" s="3">
        <v>100</v>
      </c>
      <c r="G41" s="3" t="s">
        <v>15</v>
      </c>
      <c r="H41" s="3" t="s">
        <v>16</v>
      </c>
      <c r="I41" s="3">
        <v>220</v>
      </c>
      <c r="J41" t="str">
        <f t="shared" si="2"/>
        <v>26AB41_e01</v>
      </c>
      <c r="K41">
        <v>23</v>
      </c>
      <c r="L41" t="s">
        <v>70</v>
      </c>
      <c r="M41" t="s">
        <v>89</v>
      </c>
      <c r="N41" t="s">
        <v>71</v>
      </c>
    </row>
    <row r="42" spans="1:14" x14ac:dyDescent="0.2">
      <c r="A42" t="s">
        <v>56</v>
      </c>
      <c r="B42" s="7">
        <v>46098</v>
      </c>
      <c r="C42" s="7">
        <v>46111</v>
      </c>
      <c r="D42" s="8" t="s">
        <v>72</v>
      </c>
      <c r="E42" s="3" t="s">
        <v>14</v>
      </c>
      <c r="F42" s="3">
        <v>100</v>
      </c>
      <c r="G42" s="3" t="s">
        <v>15</v>
      </c>
      <c r="H42" s="3" t="s">
        <v>16</v>
      </c>
      <c r="I42" s="3">
        <v>220</v>
      </c>
      <c r="J42" t="str">
        <f t="shared" si="2"/>
        <v>26AB42_e01</v>
      </c>
      <c r="K42">
        <v>16.600000000000001</v>
      </c>
      <c r="L42" t="s">
        <v>70</v>
      </c>
      <c r="M42" t="s">
        <v>89</v>
      </c>
      <c r="N42" t="s">
        <v>71</v>
      </c>
    </row>
    <row r="43" spans="1:14" x14ac:dyDescent="0.2">
      <c r="A43" t="s">
        <v>57</v>
      </c>
      <c r="B43" s="7">
        <v>46098</v>
      </c>
      <c r="C43" s="7">
        <v>46111</v>
      </c>
      <c r="D43" s="8" t="s">
        <v>72</v>
      </c>
      <c r="E43" s="3" t="s">
        <v>14</v>
      </c>
      <c r="F43" s="3">
        <v>100</v>
      </c>
      <c r="G43" s="3" t="s">
        <v>15</v>
      </c>
      <c r="H43" s="3" t="s">
        <v>16</v>
      </c>
      <c r="I43" s="3">
        <v>220</v>
      </c>
      <c r="J43" t="str">
        <f t="shared" si="2"/>
        <v>26AB43_e01</v>
      </c>
      <c r="K43">
        <v>18.8</v>
      </c>
      <c r="L43" t="s">
        <v>70</v>
      </c>
      <c r="M43" t="s">
        <v>89</v>
      </c>
      <c r="N43" t="s">
        <v>71</v>
      </c>
    </row>
    <row r="44" spans="1:14" x14ac:dyDescent="0.2">
      <c r="A44" t="s">
        <v>58</v>
      </c>
      <c r="B44" s="7">
        <v>46098</v>
      </c>
      <c r="C44" s="7">
        <v>46111</v>
      </c>
      <c r="D44" s="8" t="s">
        <v>72</v>
      </c>
      <c r="E44" s="3" t="s">
        <v>14</v>
      </c>
      <c r="F44" s="3">
        <v>100</v>
      </c>
      <c r="G44" s="3" t="s">
        <v>15</v>
      </c>
      <c r="H44" s="3" t="s">
        <v>16</v>
      </c>
      <c r="I44" s="3">
        <v>220</v>
      </c>
      <c r="J44" t="str">
        <f t="shared" si="2"/>
        <v>26AB44_e01</v>
      </c>
      <c r="K44">
        <v>24</v>
      </c>
      <c r="L44" t="s">
        <v>70</v>
      </c>
      <c r="M44" t="s">
        <v>89</v>
      </c>
      <c r="N44" t="s">
        <v>71</v>
      </c>
    </row>
    <row r="45" spans="1:14" x14ac:dyDescent="0.2">
      <c r="A45" t="s">
        <v>59</v>
      </c>
      <c r="B45" s="7">
        <v>46098</v>
      </c>
      <c r="C45" s="7">
        <v>46111</v>
      </c>
      <c r="D45" s="8" t="s">
        <v>72</v>
      </c>
      <c r="E45" s="3" t="s">
        <v>14</v>
      </c>
      <c r="F45" s="3">
        <v>100</v>
      </c>
      <c r="G45" s="3" t="s">
        <v>15</v>
      </c>
      <c r="H45" s="3" t="s">
        <v>16</v>
      </c>
      <c r="I45" s="3">
        <v>220</v>
      </c>
      <c r="J45" t="str">
        <f t="shared" si="2"/>
        <v>26AB45_e01</v>
      </c>
      <c r="K45">
        <v>12.5</v>
      </c>
      <c r="L45" t="s">
        <v>70</v>
      </c>
      <c r="M45" t="s">
        <v>89</v>
      </c>
      <c r="N45" t="s">
        <v>71</v>
      </c>
    </row>
    <row r="46" spans="1:14" x14ac:dyDescent="0.2">
      <c r="A46" t="s">
        <v>60</v>
      </c>
      <c r="B46" s="7">
        <v>46098</v>
      </c>
      <c r="C46" s="7">
        <v>46111</v>
      </c>
      <c r="D46" s="8" t="s">
        <v>72</v>
      </c>
      <c r="E46" s="3" t="s">
        <v>14</v>
      </c>
      <c r="F46" s="3">
        <v>100</v>
      </c>
      <c r="G46" s="3" t="s">
        <v>15</v>
      </c>
      <c r="H46" s="3" t="s">
        <v>16</v>
      </c>
      <c r="I46" s="3">
        <v>220</v>
      </c>
      <c r="J46" t="str">
        <f t="shared" si="2"/>
        <v>26AB46_e01</v>
      </c>
      <c r="K46">
        <v>13.3</v>
      </c>
      <c r="L46" t="s">
        <v>70</v>
      </c>
      <c r="M46" t="s">
        <v>89</v>
      </c>
      <c r="N46" t="s">
        <v>71</v>
      </c>
    </row>
    <row r="47" spans="1:14" x14ac:dyDescent="0.2">
      <c r="A47" t="s">
        <v>61</v>
      </c>
      <c r="B47" s="7">
        <v>46098</v>
      </c>
      <c r="C47" s="7">
        <v>46111</v>
      </c>
      <c r="D47" s="8" t="s">
        <v>72</v>
      </c>
      <c r="E47" s="3" t="s">
        <v>14</v>
      </c>
      <c r="F47" s="3">
        <v>100</v>
      </c>
      <c r="G47" s="3" t="s">
        <v>15</v>
      </c>
      <c r="H47" s="3" t="s">
        <v>16</v>
      </c>
      <c r="I47" s="3">
        <v>220</v>
      </c>
      <c r="J47" t="str">
        <f t="shared" si="2"/>
        <v>26AB47_e01</v>
      </c>
      <c r="K47">
        <v>27.4</v>
      </c>
      <c r="L47" t="s">
        <v>70</v>
      </c>
      <c r="M47" t="s">
        <v>89</v>
      </c>
      <c r="N47" t="s">
        <v>71</v>
      </c>
    </row>
    <row r="48" spans="1:14" x14ac:dyDescent="0.2">
      <c r="A48" t="s">
        <v>62</v>
      </c>
      <c r="B48" s="7">
        <v>46098</v>
      </c>
      <c r="C48" s="7">
        <v>46111</v>
      </c>
      <c r="D48" s="8" t="s">
        <v>72</v>
      </c>
      <c r="E48" s="3" t="s">
        <v>14</v>
      </c>
      <c r="F48" s="3">
        <v>100</v>
      </c>
      <c r="G48" s="3" t="s">
        <v>15</v>
      </c>
      <c r="H48" s="3" t="s">
        <v>16</v>
      </c>
      <c r="I48" s="3">
        <v>220</v>
      </c>
      <c r="J48" t="str">
        <f t="shared" si="2"/>
        <v>26AB48_e01</v>
      </c>
      <c r="K48">
        <v>17</v>
      </c>
      <c r="L48" t="s">
        <v>70</v>
      </c>
      <c r="M48" t="s">
        <v>89</v>
      </c>
      <c r="N48" t="s">
        <v>71</v>
      </c>
    </row>
    <row r="49" spans="1:14" x14ac:dyDescent="0.2">
      <c r="A49" t="s">
        <v>63</v>
      </c>
      <c r="B49" s="7">
        <v>46098</v>
      </c>
      <c r="C49" s="7">
        <v>46111</v>
      </c>
      <c r="D49" s="8" t="s">
        <v>72</v>
      </c>
      <c r="E49" s="3" t="s">
        <v>14</v>
      </c>
      <c r="F49" s="3">
        <v>100</v>
      </c>
      <c r="G49" s="3" t="s">
        <v>15</v>
      </c>
      <c r="H49" s="3" t="s">
        <v>16</v>
      </c>
      <c r="I49" s="3">
        <v>220</v>
      </c>
      <c r="J49" t="str">
        <f t="shared" si="2"/>
        <v>26AB49_e01</v>
      </c>
      <c r="K49">
        <v>17.100000000000001</v>
      </c>
      <c r="L49" t="s">
        <v>70</v>
      </c>
      <c r="M49" t="s">
        <v>89</v>
      </c>
      <c r="N49" t="s">
        <v>71</v>
      </c>
    </row>
    <row r="50" spans="1:14" x14ac:dyDescent="0.2">
      <c r="A50" t="s">
        <v>64</v>
      </c>
      <c r="B50" s="7">
        <v>46098</v>
      </c>
      <c r="C50" s="7">
        <v>46111</v>
      </c>
      <c r="D50" s="8" t="s">
        <v>72</v>
      </c>
      <c r="E50" s="3" t="s">
        <v>14</v>
      </c>
      <c r="F50" s="3">
        <v>100</v>
      </c>
      <c r="G50" s="3" t="s">
        <v>15</v>
      </c>
      <c r="H50" s="3" t="s">
        <v>16</v>
      </c>
      <c r="I50" s="3">
        <v>220</v>
      </c>
      <c r="J50" t="str">
        <f t="shared" si="2"/>
        <v>26AB50_e01</v>
      </c>
      <c r="K50">
        <v>14</v>
      </c>
      <c r="L50" t="s">
        <v>70</v>
      </c>
      <c r="M50" t="s">
        <v>89</v>
      </c>
      <c r="N50" t="s">
        <v>71</v>
      </c>
    </row>
    <row r="51" spans="1:14" x14ac:dyDescent="0.2">
      <c r="A51" t="s">
        <v>65</v>
      </c>
      <c r="B51" s="7">
        <v>46099</v>
      </c>
      <c r="C51" s="7">
        <v>46111</v>
      </c>
      <c r="D51" s="8" t="s">
        <v>72</v>
      </c>
      <c r="E51" s="3" t="s">
        <v>14</v>
      </c>
      <c r="F51" s="3">
        <v>100</v>
      </c>
      <c r="G51" s="3" t="s">
        <v>15</v>
      </c>
      <c r="H51" s="3" t="s">
        <v>16</v>
      </c>
      <c r="I51" s="3">
        <v>220</v>
      </c>
      <c r="J51" t="str">
        <f t="shared" si="2"/>
        <v>26AB51_e01</v>
      </c>
      <c r="K51">
        <v>25.4</v>
      </c>
      <c r="L51" t="s">
        <v>70</v>
      </c>
      <c r="M51" t="s">
        <v>89</v>
      </c>
      <c r="N51" t="s">
        <v>71</v>
      </c>
    </row>
    <row r="52" spans="1:14" x14ac:dyDescent="0.2">
      <c r="A52" t="s">
        <v>66</v>
      </c>
      <c r="B52" s="7">
        <v>46099</v>
      </c>
      <c r="C52" s="7">
        <v>46111</v>
      </c>
      <c r="D52" s="8" t="s">
        <v>72</v>
      </c>
      <c r="E52" s="3" t="s">
        <v>14</v>
      </c>
      <c r="F52" s="3">
        <v>100</v>
      </c>
      <c r="G52" s="3" t="s">
        <v>15</v>
      </c>
      <c r="H52" s="3" t="s">
        <v>16</v>
      </c>
      <c r="I52" s="3">
        <v>220</v>
      </c>
      <c r="J52" t="str">
        <f t="shared" si="2"/>
        <v>26AB52_e01</v>
      </c>
      <c r="K52">
        <v>23.2</v>
      </c>
      <c r="L52" t="s">
        <v>70</v>
      </c>
      <c r="M52" t="s">
        <v>89</v>
      </c>
      <c r="N52" t="s">
        <v>71</v>
      </c>
    </row>
    <row r="53" spans="1:14" x14ac:dyDescent="0.2">
      <c r="A53" t="s">
        <v>67</v>
      </c>
      <c r="B53" s="7">
        <v>46099</v>
      </c>
      <c r="C53" s="7">
        <v>46111</v>
      </c>
      <c r="D53" s="8" t="s">
        <v>72</v>
      </c>
      <c r="E53" s="3" t="s">
        <v>14</v>
      </c>
      <c r="F53" s="3">
        <v>100</v>
      </c>
      <c r="G53" s="3" t="s">
        <v>15</v>
      </c>
      <c r="H53" s="3" t="s">
        <v>16</v>
      </c>
      <c r="I53" s="3">
        <v>220</v>
      </c>
      <c r="J53" t="str">
        <f t="shared" si="2"/>
        <v>26AB53_e01</v>
      </c>
      <c r="K53">
        <v>13</v>
      </c>
      <c r="L53" t="s">
        <v>70</v>
      </c>
      <c r="M53" t="s">
        <v>89</v>
      </c>
      <c r="N53" t="s">
        <v>71</v>
      </c>
    </row>
    <row r="54" spans="1:14" x14ac:dyDescent="0.2">
      <c r="A54" t="s">
        <v>68</v>
      </c>
      <c r="B54" s="7">
        <v>46099</v>
      </c>
      <c r="C54" s="7">
        <v>46111</v>
      </c>
      <c r="D54" s="8" t="s">
        <v>72</v>
      </c>
      <c r="E54" s="3" t="s">
        <v>14</v>
      </c>
      <c r="F54" s="3">
        <v>100</v>
      </c>
      <c r="G54" s="3" t="s">
        <v>15</v>
      </c>
      <c r="H54" s="3" t="s">
        <v>16</v>
      </c>
      <c r="I54" s="3">
        <v>220</v>
      </c>
      <c r="J54" t="str">
        <f t="shared" si="2"/>
        <v>26AB54_e01</v>
      </c>
      <c r="K54">
        <v>20</v>
      </c>
      <c r="L54" t="s">
        <v>70</v>
      </c>
      <c r="M54" t="s">
        <v>89</v>
      </c>
      <c r="N54" t="s">
        <v>71</v>
      </c>
    </row>
    <row r="55" spans="1:14" x14ac:dyDescent="0.2">
      <c r="A55" t="s">
        <v>73</v>
      </c>
      <c r="C55" s="7">
        <v>46111</v>
      </c>
      <c r="D55" s="8" t="s">
        <v>79</v>
      </c>
      <c r="E55" s="3" t="s">
        <v>14</v>
      </c>
      <c r="F55" s="3">
        <v>100</v>
      </c>
      <c r="G55" s="3" t="s">
        <v>15</v>
      </c>
      <c r="H55" s="3" t="s">
        <v>16</v>
      </c>
      <c r="I55" s="3">
        <v>220</v>
      </c>
      <c r="K55" t="s">
        <v>74</v>
      </c>
      <c r="N55" t="s">
        <v>71</v>
      </c>
    </row>
    <row r="56" spans="1:14" x14ac:dyDescent="0.2">
      <c r="A56" t="s">
        <v>86</v>
      </c>
      <c r="B56" s="5">
        <v>46093</v>
      </c>
      <c r="C56" s="7">
        <v>46112</v>
      </c>
      <c r="D56" s="8" t="s">
        <v>79</v>
      </c>
      <c r="E56" s="3" t="s">
        <v>82</v>
      </c>
      <c r="F56" s="3">
        <v>10</v>
      </c>
      <c r="G56" s="3" t="s">
        <v>83</v>
      </c>
      <c r="H56" s="3" t="s">
        <v>84</v>
      </c>
      <c r="I56" s="3">
        <v>110</v>
      </c>
      <c r="J56" s="6" t="s">
        <v>75</v>
      </c>
      <c r="K56">
        <v>1.25</v>
      </c>
      <c r="L56" t="s">
        <v>70</v>
      </c>
      <c r="M56" t="s">
        <v>77</v>
      </c>
      <c r="N56" t="s">
        <v>71</v>
      </c>
    </row>
    <row r="57" spans="1:14" x14ac:dyDescent="0.2">
      <c r="A57" t="s">
        <v>85</v>
      </c>
      <c r="B57" s="7">
        <v>46098</v>
      </c>
      <c r="C57" s="7">
        <v>46112</v>
      </c>
      <c r="D57" s="8" t="s">
        <v>79</v>
      </c>
      <c r="E57" s="3" t="s">
        <v>82</v>
      </c>
      <c r="F57" s="3">
        <v>10</v>
      </c>
      <c r="G57" s="3" t="s">
        <v>83</v>
      </c>
      <c r="H57" s="3" t="s">
        <v>84</v>
      </c>
      <c r="I57" s="3">
        <v>110</v>
      </c>
      <c r="J57" s="6" t="s">
        <v>76</v>
      </c>
      <c r="K57">
        <v>3.04</v>
      </c>
      <c r="L57" t="s">
        <v>70</v>
      </c>
      <c r="M57" t="s">
        <v>77</v>
      </c>
      <c r="N57" t="s">
        <v>71</v>
      </c>
    </row>
    <row r="58" spans="1:14" x14ac:dyDescent="0.2">
      <c r="A58" t="s">
        <v>86</v>
      </c>
      <c r="B58" s="5">
        <v>46093</v>
      </c>
      <c r="C58" s="7">
        <v>46112</v>
      </c>
      <c r="D58" s="8" t="s">
        <v>79</v>
      </c>
      <c r="E58" s="3" t="s">
        <v>82</v>
      </c>
      <c r="F58" s="3">
        <v>10</v>
      </c>
      <c r="G58" s="3" t="s">
        <v>83</v>
      </c>
      <c r="H58" s="3" t="s">
        <v>84</v>
      </c>
      <c r="I58" s="3">
        <v>110</v>
      </c>
      <c r="J58" s="6" t="s">
        <v>75</v>
      </c>
      <c r="K58">
        <v>1.1100000000000001</v>
      </c>
      <c r="L58" t="s">
        <v>70</v>
      </c>
      <c r="M58" t="s">
        <v>78</v>
      </c>
      <c r="N58" t="s">
        <v>71</v>
      </c>
    </row>
    <row r="59" spans="1:14" x14ac:dyDescent="0.2">
      <c r="A59" t="s">
        <v>85</v>
      </c>
      <c r="B59" s="7">
        <v>46098</v>
      </c>
      <c r="C59" s="7">
        <v>46112</v>
      </c>
      <c r="D59" s="8" t="s">
        <v>79</v>
      </c>
      <c r="E59" s="3" t="s">
        <v>82</v>
      </c>
      <c r="F59" s="3">
        <v>10</v>
      </c>
      <c r="G59" s="3" t="s">
        <v>83</v>
      </c>
      <c r="H59" s="3" t="s">
        <v>84</v>
      </c>
      <c r="I59" s="3">
        <v>110</v>
      </c>
      <c r="J59" s="6" t="s">
        <v>76</v>
      </c>
      <c r="K59">
        <v>1.75</v>
      </c>
      <c r="L59" t="s">
        <v>70</v>
      </c>
      <c r="M59" t="s">
        <v>78</v>
      </c>
      <c r="N59" t="s">
        <v>71</v>
      </c>
    </row>
    <row r="60" spans="1:14" x14ac:dyDescent="0.2">
      <c r="A60" t="s">
        <v>87</v>
      </c>
      <c r="B60" t="s">
        <v>88</v>
      </c>
      <c r="C60" s="7">
        <v>46112</v>
      </c>
      <c r="D60" s="8" t="s">
        <v>80</v>
      </c>
      <c r="E60" s="3" t="s">
        <v>14</v>
      </c>
      <c r="F60" s="3">
        <v>100</v>
      </c>
      <c r="G60" s="3" t="s">
        <v>15</v>
      </c>
      <c r="H60" s="3" t="s">
        <v>16</v>
      </c>
      <c r="I60" s="3">
        <v>220</v>
      </c>
      <c r="J60" s="6" t="s">
        <v>81</v>
      </c>
      <c r="K60">
        <v>19.899999999999999</v>
      </c>
      <c r="L60" t="s">
        <v>70</v>
      </c>
      <c r="N60" t="s">
        <v>71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Kamau, Maureen</dc:creator>
  <cp:lastModifiedBy>Kamau, Maureen</cp:lastModifiedBy>
  <dcterms:created xsi:type="dcterms:W3CDTF">2026-03-30T07:01:24Z</dcterms:created>
  <dcterms:modified xsi:type="dcterms:W3CDTF">2026-03-31T09:15:18Z</dcterms:modified>
</cp:coreProperties>
</file>